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Contact Us" sheetId="2" r:id="rId6"/>
    <sheet state="visible" name="Get an estimate" sheetId="3" r:id="rId7"/>
    <sheet state="visible" name="Test Data" sheetId="4" r:id="rId8"/>
    <sheet state="visible" name="Observations" sheetId="5" r:id="rId9"/>
    <sheet state="visible" name="Bug" sheetId="6" r:id="rId10"/>
  </sheets>
  <definedNames/>
  <calcPr/>
</workbook>
</file>

<file path=xl/sharedStrings.xml><?xml version="1.0" encoding="utf-8"?>
<sst xmlns="http://schemas.openxmlformats.org/spreadsheetml/2006/main" count="488" uniqueCount="259">
  <si>
    <t>Mandy's Maids Cleaning services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</si>
  <si>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Allan John Scott                                                                        
Verified By: Jimitha                                                                                                                                                                                                                                                 Date: 02/02/2026                                                                        
Environmantal Details: Windows 11 Home Single Language 24H2,Vivaldi 7.5                                                                                                                                                     Module Name: Home</t>
  </si>
  <si>
    <t>Test ID</t>
  </si>
  <si>
    <t>Test Descripition</t>
  </si>
  <si>
    <t>Test Procedure</t>
  </si>
  <si>
    <t>Test Data</t>
  </si>
  <si>
    <t>Expected Result</t>
  </si>
  <si>
    <t>Actual Result</t>
  </si>
  <si>
    <t>Status</t>
  </si>
  <si>
    <t>Screenshot</t>
  </si>
  <si>
    <t xml:space="preserve">Functional </t>
  </si>
  <si>
    <t>HOME001</t>
  </si>
  <si>
    <t>Verify that the logo redirects to home page</t>
  </si>
  <si>
    <t>1) Navigate to any other internal page
2) Click on the logo.</t>
  </si>
  <si>
    <t>https://mandysmaids.com/</t>
  </si>
  <si>
    <t>Returns to home page</t>
  </si>
  <si>
    <t>Returned to home page</t>
  </si>
  <si>
    <t>Pass</t>
  </si>
  <si>
    <t>HOME002</t>
  </si>
  <si>
    <t>Verify that home navigation button on navigation 
panel redirects to home page</t>
  </si>
  <si>
    <t>1) Navigate to any other internal page
2) Click on Home button</t>
  </si>
  <si>
    <t>HOME003</t>
  </si>
  <si>
    <t>Verify that contact us navigation button on 
navigation panel redirects to contact us page</t>
  </si>
  <si>
    <t>1) Navigate to any other internal page
2) Click on contact us button</t>
  </si>
  <si>
    <t>Redirects to contact us page</t>
  </si>
  <si>
    <t>Returned to contact us page</t>
  </si>
  <si>
    <t>HOME004</t>
  </si>
  <si>
    <t>Verify that get an estimate navigation button on
navigation panel redirects to get an estimate page</t>
  </si>
  <si>
    <t>1) Navigate to any other internal page
2) Click on get an estimate button</t>
  </si>
  <si>
    <t>Redirects to get an estimate page</t>
  </si>
  <si>
    <t>Returned to get an estimate page</t>
  </si>
  <si>
    <t>HOME005</t>
  </si>
  <si>
    <t>Verify that the person icon on navigation panel
opens the section with sign in navigation button</t>
  </si>
  <si>
    <t>1) Click on person icon</t>
  </si>
  <si>
    <t>New section beside navigation panel with sign in 
navigation button is opened</t>
  </si>
  <si>
    <t>HOME006</t>
  </si>
  <si>
    <t>Verify that the request estimate navigation button
on the body of the home page redirects to request 
estimate page</t>
  </si>
  <si>
    <t>1) Navigate to home page
2) Click on request estimate button</t>
  </si>
  <si>
    <t>Redirects to request estimate page</t>
  </si>
  <si>
    <t>Redirecrted to request estimate page</t>
  </si>
  <si>
    <t>HOME007</t>
  </si>
  <si>
    <t>Verify that the schedule an appointment 
navigation button on the body of the home page 
redirects to request estimate page</t>
  </si>
  <si>
    <t>1) Navigate to home page
2) Click on schedule an appointment button</t>
  </si>
  <si>
    <t>Redirects to schedule an appointment page</t>
  </si>
  <si>
    <t>Redirected to a page showing 404 not found 
message from a new tab</t>
  </si>
  <si>
    <t>Fail</t>
  </si>
  <si>
    <t>appointments.png</t>
  </si>
  <si>
    <t>HOME008</t>
  </si>
  <si>
    <t>Verify that the phone number seen under schedule
an appointment navigation button opens the 
default call application</t>
  </si>
  <si>
    <t>1) Navigate to home page
2) Click on phone number</t>
  </si>
  <si>
    <t>Redirects to deault dialer app</t>
  </si>
  <si>
    <t>Redirected to default dialer app</t>
  </si>
  <si>
    <t>HOME009</t>
  </si>
  <si>
    <t>Verify that contact us navigation button at footer of 
the page redirects to contact us page</t>
  </si>
  <si>
    <t>1) Navigate to home page
2) Scroll to footer of page
3) Click on contact us button</t>
  </si>
  <si>
    <t>Redirected to contact us page</t>
  </si>
  <si>
    <t>HOME010</t>
  </si>
  <si>
    <t>Verify that get an estimate navigation button at 
footer of the page redirects to contact us page</t>
  </si>
  <si>
    <t>1) Navigate to home page
2) Scroll to footer of page
3) Click on get an estimate button</t>
  </si>
  <si>
    <t>Redirected to get an estimate page</t>
  </si>
  <si>
    <t>Non functional</t>
  </si>
  <si>
    <t>HOME011</t>
  </si>
  <si>
    <t>Verify that the content under heading 'Trusted 
Home Cleaning Experts' is grammatically correct
and has no spelling mistake</t>
  </si>
  <si>
    <t>1) Navigate to home page
2) Read content under 'Trusted home cleaning..'</t>
  </si>
  <si>
    <t>The content is grammatically correct and has no
spelling mistake</t>
  </si>
  <si>
    <t xml:space="preserve">No spelling or grammatical errors were found in 
the provided content. The text is clear, 
grammatically correct, and properly structured.
</t>
  </si>
  <si>
    <t>HOME012</t>
  </si>
  <si>
    <t>Verify that the content under heading 'Basic 
Cleaning' is grammatically correct and has no 
spelling mistake</t>
  </si>
  <si>
    <t>1) Navigate to home page
2) Read content under 'Basic Cleaning'</t>
  </si>
  <si>
    <t>Refer to sheet: Observations, HOME012</t>
  </si>
  <si>
    <t>Basic Cleaning.png</t>
  </si>
  <si>
    <t>HOME013</t>
  </si>
  <si>
    <t>Verify that the content under heading 'Deep 
Cleaning' is grammatically correct and has no 
spelling mistake</t>
  </si>
  <si>
    <t>1) Navigate to home page
2) Read content under 'Deep Cleaning'</t>
  </si>
  <si>
    <t xml:space="preserve">Refer to sheet: Observations, HOME013
</t>
  </si>
  <si>
    <t>Deep cleaning.png</t>
  </si>
  <si>
    <t>HOME014</t>
  </si>
  <si>
    <t>Verify that the content under heading 'Prime 
Cleaning (Best Value)' is grammatically correct
and has no spelling mistake</t>
  </si>
  <si>
    <t>1) Navigate to home page
2) Read content under 'Prime cleaning..'</t>
  </si>
  <si>
    <t>Refer to sheet: Observations,HOME014</t>
  </si>
  <si>
    <t>Prime Cleaning.png</t>
  </si>
  <si>
    <t>HOME015</t>
  </si>
  <si>
    <t>Verify that the content under heading 'Amanda' is 
grammatically correct and has no spelling mistake</t>
  </si>
  <si>
    <t>1) Navigate to home page
2) Read content under 'Amanda'</t>
  </si>
  <si>
    <t>Refer to sheet: Observations,HOME016</t>
  </si>
  <si>
    <t>Amanda.png</t>
  </si>
  <si>
    <t>HOME016</t>
  </si>
  <si>
    <t>Verify that the image seen behind the 
request estimate navigation button is aligned 
correctly</t>
  </si>
  <si>
    <t>1) Navigate to home page
2) View image behind request estimate nav button</t>
  </si>
  <si>
    <t xml:space="preserve">Image to be aligned properly </t>
  </si>
  <si>
    <t>Image is aligned properly</t>
  </si>
  <si>
    <t>HOME017</t>
  </si>
  <si>
    <t>Verify that the image seen besides heading 
'Truested home cleaning experts' is aligned 
correctly</t>
  </si>
  <si>
    <t>1) Navigate to home page
2) View image beside heading 'Trusted home..'</t>
  </si>
  <si>
    <t>HOME018</t>
  </si>
  <si>
    <t>Verify that the image under heading 'About The 
Owner' is aligned correctly</t>
  </si>
  <si>
    <t>1) Navigate to home page
2) View image under heading 'About The Owner'</t>
  </si>
  <si>
    <t>HOME019</t>
  </si>
  <si>
    <t xml:space="preserve">Verify that the image beside quotes 'Spouses in 
healthy relationships cherish each other’s..' is 
aligned correctly </t>
  </si>
  <si>
    <t>1) Navigate to home page
2) View image beside quotes 'Spouses in healthy..'</t>
  </si>
  <si>
    <t>HOME020</t>
  </si>
  <si>
    <t xml:space="preserve">Verify that the favicon is present </t>
  </si>
  <si>
    <t>1) Load the web page
2) View favicon</t>
  </si>
  <si>
    <t>Favicon to be present</t>
  </si>
  <si>
    <t>Favicon not present</t>
  </si>
  <si>
    <t>favicon.png</t>
  </si>
  <si>
    <t>Count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</si>
  <si>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Allan John Scott                                                                        
Verified By: Jimitha                                                                                                                                                                                                                                                             Date: 02/02/2026                                                                        
Environmantal Details: Windows 11 Home Single Language 24H2,Vivaldi 7.5                                                                                                                                                                  Module Name: Contact Us </t>
  </si>
  <si>
    <t>Contact001</t>
  </si>
  <si>
    <t>Verify that the phone number '385.3..' opens 
deafult dialer when clicked</t>
  </si>
  <si>
    <t>1) Navigate to contact us page
2) Click on phone number</t>
  </si>
  <si>
    <t>https://mandysmaids.com/contact-us</t>
  </si>
  <si>
    <t>Opens default dialer when clicked</t>
  </si>
  <si>
    <t>Did not open default dialer, it is a text</t>
  </si>
  <si>
    <t>phone number.png</t>
  </si>
  <si>
    <t>Contact002</t>
  </si>
  <si>
    <t>Enter valid data in form field and click send</t>
  </si>
  <si>
    <t>1) Navigate to contact us page
2) Fill form field with valid data</t>
  </si>
  <si>
    <r>
      <rPr>
        <color rgb="FF1155CC"/>
        <u/>
      </rPr>
      <t xml:space="preserve">https://mandysmaids.com/contact-us
</t>
    </r>
    <r>
      <rPr/>
      <t>Name- Allan 
Email- sawap80009@okexbit.com
Comment- Test</t>
    </r>
  </si>
  <si>
    <t>Message- 'Thank you for your inquiry..' is shown 
when send button is clicked</t>
  </si>
  <si>
    <t>Message- 'Thank you for your inquiry..' was 
shown</t>
  </si>
  <si>
    <t>Contact003</t>
  </si>
  <si>
    <t>Enter valid data in form field, keep name field 
empty</t>
  </si>
  <si>
    <t>1) Navigate to contact us page
2) Fill in form field with valid data expect name 
    field</t>
  </si>
  <si>
    <r>
      <rPr>
        <color rgb="FF1155CC"/>
        <u/>
      </rPr>
      <t>https://mandysmaids.com/contact-us</t>
    </r>
    <r>
      <rPr/>
      <t xml:space="preserve">
Email- sawap80009@okexbit.com
Comment- Test</t>
    </r>
  </si>
  <si>
    <t>Contact004</t>
  </si>
  <si>
    <t>Enter valid data in form field, keep email field 
empty</t>
  </si>
  <si>
    <t>1) Navigate to contact us page
2) Fill in form field with valid data expect email 
    field</t>
  </si>
  <si>
    <r>
      <rPr>
        <color rgb="FF1155CC"/>
        <u/>
      </rPr>
      <t xml:space="preserve">https://mandysmaids.com/contact-us
</t>
    </r>
    <r>
      <rPr/>
      <t>Name- Allan 
Comment- Test</t>
    </r>
  </si>
  <si>
    <t>Message- 'Thank you for your inquiry..' is not 
shown when send button is clicked</t>
  </si>
  <si>
    <t>Message- 'Thank you for your inquiry..' was not
shown</t>
  </si>
  <si>
    <t>Contact005</t>
  </si>
  <si>
    <t>Enter valid data in form field, keep with comment 
field empty</t>
  </si>
  <si>
    <t>1) Navigate to contact us page
2) Fill in form field with valid data expect comment 
    field</t>
  </si>
  <si>
    <r>
      <rPr>
        <color rgb="FF1155CC"/>
        <u/>
      </rPr>
      <t xml:space="preserve">https://mandysmaids.com/contact-us
</t>
    </r>
    <r>
      <rPr/>
      <t>Name- Allan 
Email- sawap80009@okexbit.com</t>
    </r>
  </si>
  <si>
    <t>Message- 'Thank you for your inquiry..' was shown</t>
  </si>
  <si>
    <t>Comment field empty.png</t>
  </si>
  <si>
    <t>Contact006</t>
  </si>
  <si>
    <t>Enter valid data in form field, invalid data for email
field</t>
  </si>
  <si>
    <t>1) Navigate to contact up page
2) Fill in form field with valid data, invalid data for
     email field</t>
  </si>
  <si>
    <r>
      <rPr>
        <color rgb="FF1155CC"/>
        <u/>
      </rPr>
      <t xml:space="preserve">https://mandysmaids.com/contact-us
</t>
    </r>
    <r>
      <rPr/>
      <t>Name- Allan 
Email- sawap80009
Comment- Test</t>
    </r>
  </si>
  <si>
    <t>Message- 'Thank you for your inquiry..' was not 
shown</t>
  </si>
  <si>
    <t>Contact007</t>
  </si>
  <si>
    <t>Enter valid data in form field, numeric value in
comment field</t>
  </si>
  <si>
    <t>1) Navigate to contact up page
2) Fill in form field with valid data, numeric value
    in comment field</t>
  </si>
  <si>
    <r>
      <rPr>
        <color rgb="FF1155CC"/>
        <u/>
      </rPr>
      <t xml:space="preserve">https://mandysmaids.com/contact-us
</t>
    </r>
    <r>
      <rPr/>
      <t>Name- Allan 
Email- sawap80009@okexbit.com
Comment-1234</t>
    </r>
  </si>
  <si>
    <t>Message- 'Thank you for your inquiry..' was
shown</t>
  </si>
  <si>
    <t>Number in comment field.png</t>
  </si>
  <si>
    <t xml:space="preserve">Mandy's Maids Cleaning services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</si>
  <si>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Allan John Scott                                                                        
Verified By:                                                                                                                                                                                                                                                             Date: 02/02/2026                                                                        
Environmantal Details: Windows 11 Home Single Language 24H2,Vivaldi 7.5                                                                                                                                                     Module Name: Get an estimate</t>
  </si>
  <si>
    <t>Functional</t>
  </si>
  <si>
    <t>Estimate001</t>
  </si>
  <si>
    <t>Enter valid data in the form field and click submit</t>
  </si>
  <si>
    <t>1) Navigate to get an estimate page
2) Enter valid data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</si>
  <si>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Estimate001</t>
    </r>
  </si>
  <si>
    <t>Thank you for submitting your responses..' 
message is to be seen after entering valid data
and clicking submit button</t>
  </si>
  <si>
    <t>Thank you for submitting your responses..' was 
seen</t>
  </si>
  <si>
    <t>Estimate002</t>
  </si>
  <si>
    <t>1) Navigate to get an estimate page
2) Enter valid data, name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</si>
  <si>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Estimate002</t>
    </r>
  </si>
  <si>
    <t>Thank you for submitting your responses..' 
message is not to be seen after entering valid 
data and clicking submit button</t>
  </si>
  <si>
    <t>Estimate003</t>
  </si>
  <si>
    <t>Enter valid data in form field, keep phone field 
empty</t>
  </si>
  <si>
    <t>1) Navigate to get an estimate page
2) Enter valid data, phone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</si>
  <si>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Estimate003</t>
    </r>
  </si>
  <si>
    <t>Thank you for submitting your responses..' was 
not seen</t>
  </si>
  <si>
    <t>Estimate004</t>
  </si>
  <si>
    <t>1) Navigate to get an estimate page
2) Enter valid data, email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</si>
  <si>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Estimate004</t>
    </r>
  </si>
  <si>
    <t>Estimate005</t>
  </si>
  <si>
    <t>Enter valid data in form field, keep sqft field 
empty</t>
  </si>
  <si>
    <t>1) Navigate to get an estimate page
2) Enter valid data, sqft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</si>
  <si>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Estimate005</t>
    </r>
  </si>
  <si>
    <t>Estimate006</t>
  </si>
  <si>
    <t>Enter valid data in form field, keep no: of 
bathrooms field empty</t>
  </si>
  <si>
    <t>1) Navigate to get an estimate page
2) Enter valid data, no: of bathrooms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</si>
  <si>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Estimate006</t>
    </r>
  </si>
  <si>
    <t>Estimate007</t>
  </si>
  <si>
    <t>Enter valid data in form field, keep no: of 
pets field empty</t>
  </si>
  <si>
    <t>1) Navigate to get an estimate page
2) Enter valid data, no: of pets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</si>
  <si>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Estimate007</t>
    </r>
  </si>
  <si>
    <t>Thank you for submitting your responses..' 
message is to be seen after entering valid 
data and clicking submit button</t>
  </si>
  <si>
    <t>pets.png</t>
  </si>
  <si>
    <t>Estimate008</t>
  </si>
  <si>
    <t>Enter valid data in form field, keep service type
field empty</t>
  </si>
  <si>
    <t>1) Navigate to get an estimate page
2) Enter valid data, service type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</si>
  <si>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Estimate008</t>
    </r>
  </si>
  <si>
    <t>Estimate009</t>
  </si>
  <si>
    <t>Enter valid data in form field, keep Address 1 
field empty</t>
  </si>
  <si>
    <t>1) Navigate to get an estimate page
2) Enter valid data, Address 1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</si>
  <si>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Estimate009</t>
    </r>
  </si>
  <si>
    <t>Estimate010</t>
  </si>
  <si>
    <t>Enter valid data in form field, keep Address 2
 field empty</t>
  </si>
  <si>
    <t>1) Navigate to get an estimate page
2) Enter valid data, Address 2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</si>
  <si>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Estimate010</t>
    </r>
  </si>
  <si>
    <t>Estimate011</t>
  </si>
  <si>
    <t>Enter valid data in form field, keep zip code
field empty</t>
  </si>
  <si>
    <t>1) Navigate to get an estimate page
2) Enter valid data, zip code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</si>
  <si>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Estimate0011</t>
    </r>
  </si>
  <si>
    <t>Estimate012</t>
  </si>
  <si>
    <t>Enter valid data in form field, keep city
field empty</t>
  </si>
  <si>
    <t>1) Navigate to get an estimate page
2) Enter valid data, city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</si>
  <si>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Estimate0012</t>
    </r>
  </si>
  <si>
    <t>Estimate013</t>
  </si>
  <si>
    <t>Enter valid data in form field, keep comment
field empty</t>
  </si>
  <si>
    <t>1) Navigate to get an estimate page
2) Enter valid data, comment field empty
3) Click submit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</si>
  <si>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Estimate0013</t>
    </r>
  </si>
  <si>
    <t>Referal.png</t>
  </si>
  <si>
    <t>Estimate014</t>
  </si>
  <si>
    <t>Verify that the content 'Get an estimate for your..'
is grammatically correct and has no spelling
mistake</t>
  </si>
  <si>
    <t>1) Navigate to home page
2) Read content 'Get an estimate for your..'</t>
  </si>
  <si>
    <r>
      <rPr>
        <color rgb="FF1155CC"/>
        <u/>
      </rPr>
      <t>https://mandysmaids.com/get-an-estimate</t>
    </r>
    <r>
      <rPr>
        <color rgb="FF000000"/>
      </rPr>
      <t xml:space="preserve">
Refer Sheet: Test Data, Estimate0013</t>
    </r>
  </si>
  <si>
    <t>Has no grammatical or spelling mistakes</t>
  </si>
  <si>
    <t>Data</t>
  </si>
  <si>
    <t>Name- Allan
Phone-1 (801) 555-0194
email-sawap80009@okexbit.com
Squareft-5000
No:bathrooms-4
No:pets-3
Service-Basic
Address1- 742 Juniper Hollow Drive Cedar Ridge, 
                UT 84062 United States
Address2-1895 Redstone View Lane
                 Silver Mesa, UT 84721 United States
Zip code- 84062 
City-Utha
Comment- google</t>
  </si>
  <si>
    <t>Phone-1 (801) 555-0194
email-sawap80009@okexbit.com
Squareft-5000
No:bathrooms-4
No:pets-3
Service-Basic
Address1- 742 Juniper Hollow Drive Cedar Ridge, 
                UT 84062 United States
Address2-1895 Redstone View Lane
                 Silver Mesa, UT 84721 United States
Zip code- 84062 
City-Utha
Comment- google</t>
  </si>
  <si>
    <t>Name- Allan
email-sawap80009@okexbit.com
Squareft-5000
No:bathrooms-4
No:pets-3
Service-Basic
Address1- 742 Juniper Hollow Drive Cedar Ridge, 
                UT 84062 United States
Address2-1895 Redstone View Lane
                 Silver Mesa, UT 84721 United States
Zip code- 84062 
City-Utha
Comment- google</t>
  </si>
  <si>
    <t>Name- Allan
Phone-1 (801) 555-0194
Squareft-5000
No:bathrooms-4
No:pets-3
Service-Basic
Address1- 742 Juniper Hollow Drive Cedar Ridge, 
                UT 84062 United States
Address2-1895 Redstone View Lane
                 Silver Mesa, UT 84721 United States
Zip code- 84062 
City-Utha
Comment- google</t>
  </si>
  <si>
    <t>Name- Allan
Phone-1 (801) 555-0194
email-sawap80009@okexbit.com
No:bathrooms-4
No:pets-3
Service-Basic
Address1- 742 Juniper Hollow Drive Cedar Ridge, 
                UT 84062 United States
Address2-1895 Redstone View Lane
                 Silver Mesa, UT 84721 United States
Zip code- 84062 
City-Utha
Comment- google</t>
  </si>
  <si>
    <t>Name- Allan
Phone-1 (801) 555-0194
email-sawap80009@okexbit.com
Squareft-5000
No:pets-3
Service-Basic
Address1- 742 Juniper Hollow Drive Cedar Ridge, 
                UT 84062 United States
Address2-1895 Redstone View Lane
                 Silver Mesa, UT 84721 United States
Zip code- 84062 
City-Utha
Comment- google</t>
  </si>
  <si>
    <t>Name- Allan
Phone-1 (801) 555-0194
email-sawap80009@okexbit.com
Squareft-5000
No:bathrooms-4
Service-Basic
Address1- 742 Juniper Hollow Drive Cedar Ridge, 
                UT 84062 United States
Address2-1895 Redstone View Lane
                 Silver Mesa, UT 84721 United States
Zip code- 84062 
City-Utha
Comment- google</t>
  </si>
  <si>
    <t>Name- Allan
Phone-1 (801) 555-0194
email-sawap80009@okexbit.com
Squareft-5000
No:bathrooms-4
No:pets-3
Address1- 742 Juniper Hollow Drive Cedar Ridge, 
                UT 84062 United States
Address2-1895 Redstone View Lane
                 Silver Mesa, UT 84721 United States
Zip code- 84062 
City-Utha
Comment- google</t>
  </si>
  <si>
    <t>Name- Allan
Phone-1 (801) 555-0194
email-sawap80009@okexbit.com
Squareft-5000
No:bathrooms-4
No:pets-3
Service-Basic
Address2-1895 Redstone View Lane
                 Silver Mesa, UT 84721 United States
Zip code- 84062 
City-Utha
Comment- google</t>
  </si>
  <si>
    <t>Name- Allan
Phone-1 (801) 555-0194
email-sawap80009@okexbit.com
Squareft-5000
No:bathrooms-4
No:pets-3
Service-Basic
Address1- 742 Juniper Hollow Drive Cedar Ridge, 
                UT 84062 United States
Zip code- 84062 
City-Utha
Comment- google</t>
  </si>
  <si>
    <t>Name- Allan
Phone-1 (801) 555-0194
email-sawap80009@okexbit.com
Squareft-5000
No:bathrooms-4
No:pets-3
Service-Basic
Address1- 742 Juniper Hollow Drive Cedar Ridge, 
                UT 84062 United States
Address2-1895 Redstone View Lane
                 Silver Mesa, UT 84721 United States
Zip code- 84062 
Comment- google</t>
  </si>
  <si>
    <t>Name- Allan
Phone-1 (801) 555-0194
email-sawap80009@okexbit.com
Squareft-5000
No:bathrooms-4
No:pets-3
Service-Basic
Address1- 742 Juniper Hollow Drive Cedar Ridge, 
                UT 84062 United States
Address2-1895 Redstone View Lane
                 Silver Mesa, UT 84721 United States
Zip code- 84062 
City-Utha</t>
  </si>
  <si>
    <t>Test Case Observations</t>
  </si>
  <si>
    <t>Observations</t>
  </si>
  <si>
    <t xml:space="preserve">* “dispose **on** location” → should be “dispose **at** location”
* Inconsistent capitalization at multiple lines
* “counter-tops” → commonly written as “countertops”
* Extra spaces before punctuation in multiple lines
* “decor and furniture,” → comma should be a period
* “Vacuum and mop floors,” → comma should be a period
* “Dust/remove cob webs” → “cob webs” should be “cobwebs”
* “Empty trash. (On location).” → unnecessary parentheses; should be “Empty trash on location.”
* “over sink window” → should be “over-the-sink window”
* “counter-top” → should be “countertop”
* “vacuum and mop floor” → should be “vacuum and mop floors”
</t>
  </si>
  <si>
    <t xml:space="preserve">* “24 hrs” should be “24 hours”
* “If it not on the list” should be “If it is not on the list”
* Inconsistent capitalization at multiple lines
* “disposed on location” should be “disposed at location”
* “counter-tops / counter-top” should be “countertops / countertop”
* “wipe exterior cabinets, and interior/top of cabinet door” has an unnecessary comma and unclear phrasing
* “wet wipe doors, knobs and frame” should be “wet wipe doors, knobs, and frames”
* “base boards” should be “baseboards”
* Extra leading spaces before some lines (e.g., “spot clean inside windows”)
* “Dust window seals” should be “Dust window sills”
* “Dust lights (within reach of extended duster) decor and furniture” is missing a comma after the parenthesis
* “Empty trash (On site)” has inconsistent capitalization; should be “on site”
* “Wipe Front door” should be “Wipe front door”
* “Remove cob webs” should be “Remove cobwebs”
* Missing periods at the end of some lines (e.g., microwave line)
* Inconsistent ladder measurement style (“3 ft” vs “2 foot”)
</t>
  </si>
  <si>
    <t xml:space="preserve">* “dispose on location” should be “dispose at location”
* Inconsistent capitalization at multiple lines
* Extra spaces before periods in several lines
* “counter-tops / counter-top” should be “countertops / countertop”
* “bathtubs/shower” should be “bathtubs/showers”
* “Empty trash. (On location).” has unnecessary parentheses and inconsistent capitalization; should be “Empty trash on location.”
* “remove cobwebs on ceilings” should be “remove cobwebs from ceilings”
* “exterior appliances.” is an incomplete sentence
* “clean over sink window inside” should be “clean over-the-sink window inside”
* “vacuum and mop floor” should be “vacuum and mop floors”
* Repetition error: “Make bed” appears under Living Space, which is contextually incorrect
</t>
  </si>
  <si>
    <t>* Missing comma in list: “Bear Lake Utah” should be “Bear Lake, Utah”
* Subject–verb agreement error: “The beach… hold a special place” should be “holds a special place”
* Run-on sentence: “She loves her mini dachshund and has been accused…” should be split into two sentences or joined with proper punctuation
* Capitalization error: “blue healer” should be “Blue Heeler”
* Missing apostrophe for possessive: “sons blue healer” should be “son’s Blue Heeler”
* Awkward parallel structure: “lifting weights with her sons and teaching yoga classes” should maintain parallel verb forms
* Informal phrasing: “sparkly clean” may be considered stylistically informal, though not grammatically incorrect
* Long sentence with multiple clauses near the end reduces clarity and should be broken into shorter sentences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</si>
  <si>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Allan John Scott                                                                        
Verified By: Jimitha                                                                                                                                                                                                                                                                     Date: 02/02/2026                                                                        
Environmantal Details: Windows 11 Home Single Language 24H2,Vivaldi 7.5                                                                                                                                                                          Module Name: Contact Us</t>
  </si>
  <si>
    <t>Bug ID</t>
  </si>
  <si>
    <t>Bug summary</t>
  </si>
  <si>
    <t>Steps to reproduce</t>
  </si>
  <si>
    <t>Defect severity</t>
  </si>
  <si>
    <t>Defect priority</t>
  </si>
  <si>
    <t xml:space="preserve"> BUG001</t>
  </si>
  <si>
    <t>404 error shown when clicked</t>
  </si>
  <si>
    <t>Critical</t>
  </si>
  <si>
    <t>High</t>
  </si>
  <si>
    <t>New</t>
  </si>
  <si>
    <t xml:space="preserve"> BUG002</t>
  </si>
  <si>
    <t>Found grammatical and spelling mistakes</t>
  </si>
  <si>
    <t>Low</t>
  </si>
  <si>
    <t>Medium</t>
  </si>
  <si>
    <t xml:space="preserve"> BUG003</t>
  </si>
  <si>
    <t xml:space="preserve"> BUG004</t>
  </si>
  <si>
    <t xml:space="preserve"> BUG005</t>
  </si>
  <si>
    <t xml:space="preserve"> BUG006</t>
  </si>
  <si>
    <t xml:space="preserve"> BUG007</t>
  </si>
  <si>
    <t>Phone number is a simple text</t>
  </si>
  <si>
    <t xml:space="preserve"> BUG008</t>
  </si>
  <si>
    <t>Message was shown</t>
  </si>
  <si>
    <t xml:space="preserve"> BUG009</t>
  </si>
  <si>
    <t xml:space="preserve"> BUG010</t>
  </si>
  <si>
    <t>Message was not shown</t>
  </si>
  <si>
    <t>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</si>
</sst>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color rgb="FF000000"/>
    </font>
    <font>
      <b/>
      <sz val="12.0"/>
      <color rgb="FFFFFFFF"/>
      <name val="Arial"/>
      <scheme val="minor"/>
    </font>
    <font>
      <b/>
      <sz val="12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2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3" fontId="0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 vs Fail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Home!$B$32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Home!$A$33:$A$34</c:f>
            </c:strRef>
          </c:cat>
          <c:val>
            <c:numRef>
              <c:f>Home!$B$33:$B$34</c:f>
              <c:numCache/>
            </c:numRef>
          </c:val>
        </c:ser>
        <c:axId val="989763602"/>
        <c:axId val="1442959949"/>
      </c:barChart>
      <c:catAx>
        <c:axId val="989763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959949"/>
      </c:catAx>
      <c:valAx>
        <c:axId val="1442959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763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 Vs Fail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'Contact Us'!$B$18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'Contact Us'!$A$19:$A$20</c:f>
            </c:strRef>
          </c:cat>
          <c:val>
            <c:numRef>
              <c:f>'Contact Us'!$B$19:$B$20</c:f>
              <c:numCache/>
            </c:numRef>
          </c:val>
        </c:ser>
        <c:axId val="1219474974"/>
        <c:axId val="1950586828"/>
      </c:barChart>
      <c:catAx>
        <c:axId val="1219474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586828"/>
      </c:catAx>
      <c:valAx>
        <c:axId val="1950586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474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vs.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'Get an estimate'!$B$26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'Get an estimate'!$A$27:$A$28</c:f>
            </c:strRef>
          </c:cat>
          <c:val>
            <c:numRef>
              <c:f>'Get an estimate'!$B$27:$B$28</c:f>
              <c:numCache/>
            </c:numRef>
          </c:val>
        </c:ser>
        <c:axId val="2060125317"/>
        <c:axId val="343875822"/>
      </c:barChart>
      <c:catAx>
        <c:axId val="2060125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875822"/>
      </c:catAx>
      <c:valAx>
        <c:axId val="343875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125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qCBCv0AH7sT2q9XsDUeR0tZT-SBEoIkV/view?usp=drive_link" TargetMode="External"/><Relationship Id="rId22" Type="http://schemas.openxmlformats.org/officeDocument/2006/relationships/hyperlink" Target="https://mandysmaids.com/" TargetMode="External"/><Relationship Id="rId21" Type="http://schemas.openxmlformats.org/officeDocument/2006/relationships/hyperlink" Target="https://mandysmaids.com/" TargetMode="External"/><Relationship Id="rId24" Type="http://schemas.openxmlformats.org/officeDocument/2006/relationships/hyperlink" Target="https://mandysmaids.com/" TargetMode="External"/><Relationship Id="rId23" Type="http://schemas.openxmlformats.org/officeDocument/2006/relationships/hyperlink" Target="https://mandysmaids.com/" TargetMode="External"/><Relationship Id="rId1" Type="http://schemas.openxmlformats.org/officeDocument/2006/relationships/hyperlink" Target="https://mandysmaids.com/" TargetMode="External"/><Relationship Id="rId2" Type="http://schemas.openxmlformats.org/officeDocument/2006/relationships/hyperlink" Target="https://mandysmaids.com/" TargetMode="External"/><Relationship Id="rId3" Type="http://schemas.openxmlformats.org/officeDocument/2006/relationships/hyperlink" Target="https://mandysmaids.com/" TargetMode="External"/><Relationship Id="rId4" Type="http://schemas.openxmlformats.org/officeDocument/2006/relationships/hyperlink" Target="https://mandysmaids.com/" TargetMode="External"/><Relationship Id="rId9" Type="http://schemas.openxmlformats.org/officeDocument/2006/relationships/hyperlink" Target="https://mandysmaids.com/" TargetMode="External"/><Relationship Id="rId26" Type="http://schemas.openxmlformats.org/officeDocument/2006/relationships/hyperlink" Target="https://drive.google.com/file/d/18LR4xV6F3aekkElMBKev1pTtthZBGCmG/view?usp=drive_link" TargetMode="External"/><Relationship Id="rId25" Type="http://schemas.openxmlformats.org/officeDocument/2006/relationships/hyperlink" Target="https://mandysmaids.com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mandysmaids.com/" TargetMode="External"/><Relationship Id="rId6" Type="http://schemas.openxmlformats.org/officeDocument/2006/relationships/hyperlink" Target="https://mandysmaids.com/" TargetMode="External"/><Relationship Id="rId7" Type="http://schemas.openxmlformats.org/officeDocument/2006/relationships/hyperlink" Target="https://mandysmaids.com/" TargetMode="External"/><Relationship Id="rId8" Type="http://schemas.openxmlformats.org/officeDocument/2006/relationships/hyperlink" Target="https://drive.google.com/file/d/154lEIYcKW9KI4_ul2aVMlkardW2QnXRM/view?usp=drive_link" TargetMode="External"/><Relationship Id="rId11" Type="http://schemas.openxmlformats.org/officeDocument/2006/relationships/hyperlink" Target="https://mandysmaids.com/" TargetMode="External"/><Relationship Id="rId10" Type="http://schemas.openxmlformats.org/officeDocument/2006/relationships/hyperlink" Target="https://mandysmaids.com/" TargetMode="External"/><Relationship Id="rId13" Type="http://schemas.openxmlformats.org/officeDocument/2006/relationships/hyperlink" Target="https://mandysmaids.com/" TargetMode="External"/><Relationship Id="rId12" Type="http://schemas.openxmlformats.org/officeDocument/2006/relationships/hyperlink" Target="https://mandysmaids.com/" TargetMode="External"/><Relationship Id="rId15" Type="http://schemas.openxmlformats.org/officeDocument/2006/relationships/hyperlink" Target="https://mandysmaids.com/" TargetMode="External"/><Relationship Id="rId14" Type="http://schemas.openxmlformats.org/officeDocument/2006/relationships/hyperlink" Target="https://drive.google.com/file/d/1otMi8po5dLWCyTQOeQRNi1je4S13jDqT/view?usp=drive_link" TargetMode="External"/><Relationship Id="rId17" Type="http://schemas.openxmlformats.org/officeDocument/2006/relationships/hyperlink" Target="https://mandysmaids.com/" TargetMode="External"/><Relationship Id="rId16" Type="http://schemas.openxmlformats.org/officeDocument/2006/relationships/hyperlink" Target="https://drive.google.com/file/d/1Q-nrNpftNX992LjxWH2LCQI3J6h7hI_q/view?usp=drive_link" TargetMode="External"/><Relationship Id="rId19" Type="http://schemas.openxmlformats.org/officeDocument/2006/relationships/hyperlink" Target="https://mandysmaids.com/" TargetMode="External"/><Relationship Id="rId18" Type="http://schemas.openxmlformats.org/officeDocument/2006/relationships/hyperlink" Target="https://drive.google.com/file/d/1wljY5ZhA1_z000ujOomb94TlFc69Gwq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ndysmaids.com/contact-us" TargetMode="External"/><Relationship Id="rId2" Type="http://schemas.openxmlformats.org/officeDocument/2006/relationships/hyperlink" Target="https://drive.google.com/file/d/1aw7Ghtw6q4Ohuph-hxNm6Yh_vjU6KSq6/view?usp=drive_link" TargetMode="External"/><Relationship Id="rId3" Type="http://schemas.openxmlformats.org/officeDocument/2006/relationships/hyperlink" Target="https://mandysmaids.com/contact-us" TargetMode="External"/><Relationship Id="rId4" Type="http://schemas.openxmlformats.org/officeDocument/2006/relationships/hyperlink" Target="https://mandysmaids.com/contact-us" TargetMode="External"/><Relationship Id="rId9" Type="http://schemas.openxmlformats.org/officeDocument/2006/relationships/hyperlink" Target="https://mandysmaids.com/contact-us" TargetMode="External"/><Relationship Id="rId5" Type="http://schemas.openxmlformats.org/officeDocument/2006/relationships/hyperlink" Target="https://mandysmaids.com/contact-us" TargetMode="External"/><Relationship Id="rId6" Type="http://schemas.openxmlformats.org/officeDocument/2006/relationships/hyperlink" Target="https://mandysmaids.com/contact-us" TargetMode="External"/><Relationship Id="rId7" Type="http://schemas.openxmlformats.org/officeDocument/2006/relationships/hyperlink" Target="https://drive.google.com/file/d/1OB2R3jNyeiMjh4y-36INsOlLxCFbyKWe/view?usp=drive_link" TargetMode="External"/><Relationship Id="rId8" Type="http://schemas.openxmlformats.org/officeDocument/2006/relationships/hyperlink" Target="https://mandysmaids.com/contact-us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9oxRNhfxSi7aCV3BDhUvXsd5zHtqVQRh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ndysmaids.com/get-an-estimate" TargetMode="External"/><Relationship Id="rId2" Type="http://schemas.openxmlformats.org/officeDocument/2006/relationships/hyperlink" Target="https://mandysmaids.com/get-an-estimate" TargetMode="External"/><Relationship Id="rId3" Type="http://schemas.openxmlformats.org/officeDocument/2006/relationships/hyperlink" Target="https://mandysmaids.com/get-an-estimate" TargetMode="External"/><Relationship Id="rId4" Type="http://schemas.openxmlformats.org/officeDocument/2006/relationships/hyperlink" Target="https://mandysmaids.com/get-an-estimate" TargetMode="External"/><Relationship Id="rId9" Type="http://schemas.openxmlformats.org/officeDocument/2006/relationships/hyperlink" Target="https://mandysmaids.com/get-an-estimate" TargetMode="External"/><Relationship Id="rId5" Type="http://schemas.openxmlformats.org/officeDocument/2006/relationships/hyperlink" Target="https://mandysmaids.com/get-an-estimate" TargetMode="External"/><Relationship Id="rId6" Type="http://schemas.openxmlformats.org/officeDocument/2006/relationships/hyperlink" Target="https://mandysmaids.com/get-an-estimate" TargetMode="External"/><Relationship Id="rId7" Type="http://schemas.openxmlformats.org/officeDocument/2006/relationships/hyperlink" Target="https://mandysmaids.com/get-an-estimate" TargetMode="External"/><Relationship Id="rId8" Type="http://schemas.openxmlformats.org/officeDocument/2006/relationships/hyperlink" Target="https://drive.google.com/file/d/14rAzNQIGoWis6JLf1M2bUKxohrTEdKya/view?usp=drive_link" TargetMode="External"/><Relationship Id="rId11" Type="http://schemas.openxmlformats.org/officeDocument/2006/relationships/hyperlink" Target="https://mandysmaids.com/get-an-estimate" TargetMode="External"/><Relationship Id="rId10" Type="http://schemas.openxmlformats.org/officeDocument/2006/relationships/hyperlink" Target="https://mandysmaids.com/get-an-estimate" TargetMode="External"/><Relationship Id="rId13" Type="http://schemas.openxmlformats.org/officeDocument/2006/relationships/hyperlink" Target="https://mandysmaids.com/get-an-estimate" TargetMode="External"/><Relationship Id="rId12" Type="http://schemas.openxmlformats.org/officeDocument/2006/relationships/hyperlink" Target="https://mandysmaids.com/get-an-estimate" TargetMode="External"/><Relationship Id="rId15" Type="http://schemas.openxmlformats.org/officeDocument/2006/relationships/hyperlink" Target="https://drive.google.com/file/d/18rBxltG7yvz8Q-n7rSJi936IP3c2MdBy/view?usp=drive_link" TargetMode="External"/><Relationship Id="rId14" Type="http://schemas.openxmlformats.org/officeDocument/2006/relationships/hyperlink" Target="https://mandysmaids.com/get-an-estimate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mandysmaids.com/get-an-estimat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54lEIYcKW9KI4_ul2aVMlkardW2QnXRM/view?usp=drive_link" TargetMode="External"/><Relationship Id="rId2" Type="http://schemas.openxmlformats.org/officeDocument/2006/relationships/hyperlink" Target="https://drive.google.com/file/d/1otMi8po5dLWCyTQOeQRNi1je4S13jDqT/view?usp=drive_link" TargetMode="External"/><Relationship Id="rId3" Type="http://schemas.openxmlformats.org/officeDocument/2006/relationships/hyperlink" Target="https://drive.google.com/file/d/1Q-nrNpftNX992LjxWH2LCQI3J6h7hI_q/view?usp=drive_link" TargetMode="External"/><Relationship Id="rId4" Type="http://schemas.openxmlformats.org/officeDocument/2006/relationships/hyperlink" Target="https://drive.google.com/file/d/1wljY5ZhA1_z000ujOomb94TlFc69Gwqt/view?usp=drive_link" TargetMode="External"/><Relationship Id="rId9" Type="http://schemas.openxmlformats.org/officeDocument/2006/relationships/hyperlink" Target="https://drive.google.com/file/d/19oxRNhfxSi7aCV3BDhUvXsd5zHtqVQRh/view?usp=drive_link" TargetMode="External"/><Relationship Id="rId5" Type="http://schemas.openxmlformats.org/officeDocument/2006/relationships/hyperlink" Target="https://drive.google.com/file/d/1qCBCv0AH7sT2q9XsDUeR0tZT-SBEoIkV/view?usp=drive_link" TargetMode="External"/><Relationship Id="rId6" Type="http://schemas.openxmlformats.org/officeDocument/2006/relationships/hyperlink" Target="https://drive.google.com/file/d/18LR4xV6F3aekkElMBKev1pTtthZBGCmG/view?usp=drive_link" TargetMode="External"/><Relationship Id="rId7" Type="http://schemas.openxmlformats.org/officeDocument/2006/relationships/hyperlink" Target="https://drive.google.com/file/d/1aw7Ghtw6q4Ohuph-hxNm6Yh_vjU6KSq6/view?usp=drive_link" TargetMode="External"/><Relationship Id="rId8" Type="http://schemas.openxmlformats.org/officeDocument/2006/relationships/hyperlink" Target="https://drive.google.com/file/d/1OB2R3jNyeiMjh4y-36INsOlLxCFbyKWe/view?usp=drive_link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drive.google.com/file/d/18rBxltG7yvz8Q-n7rSJi936IP3c2MdB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37.63"/>
    <col customWidth="1" min="8" max="8" width="19.0"/>
  </cols>
  <sheetData>
    <row r="1">
      <c r="A1" s="1" t="s">
        <v>0</v>
      </c>
    </row>
    <row r="4">
      <c r="A4" s="2" t="s">
        <v>1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  <c r="I7" s="5"/>
      <c r="J7" s="5"/>
    </row>
    <row r="8">
      <c r="A8" s="6" t="s">
        <v>10</v>
      </c>
    </row>
    <row r="9">
      <c r="A9" s="7" t="s">
        <v>11</v>
      </c>
      <c r="B9" s="7" t="s">
        <v>12</v>
      </c>
      <c r="C9" s="7" t="s">
        <v>13</v>
      </c>
      <c r="D9" s="8" t="s">
        <v>14</v>
      </c>
      <c r="E9" s="7" t="s">
        <v>15</v>
      </c>
      <c r="F9" s="7" t="s">
        <v>16</v>
      </c>
      <c r="G9" s="7" t="s">
        <v>17</v>
      </c>
    </row>
    <row r="10">
      <c r="A10" s="7" t="s">
        <v>18</v>
      </c>
      <c r="B10" s="7" t="s">
        <v>19</v>
      </c>
      <c r="C10" s="7" t="s">
        <v>20</v>
      </c>
      <c r="D10" s="8" t="s">
        <v>14</v>
      </c>
      <c r="E10" s="7" t="s">
        <v>15</v>
      </c>
      <c r="F10" s="7" t="s">
        <v>16</v>
      </c>
      <c r="G10" s="7" t="s">
        <v>17</v>
      </c>
    </row>
    <row r="11">
      <c r="A11" s="7" t="s">
        <v>21</v>
      </c>
      <c r="B11" s="7" t="s">
        <v>22</v>
      </c>
      <c r="C11" s="7" t="s">
        <v>23</v>
      </c>
      <c r="D11" s="8" t="s">
        <v>14</v>
      </c>
      <c r="E11" s="7" t="s">
        <v>24</v>
      </c>
      <c r="F11" s="7" t="s">
        <v>25</v>
      </c>
      <c r="G11" s="7" t="s">
        <v>17</v>
      </c>
    </row>
    <row r="12">
      <c r="A12" s="7" t="s">
        <v>26</v>
      </c>
      <c r="B12" s="7" t="s">
        <v>27</v>
      </c>
      <c r="C12" s="7" t="s">
        <v>28</v>
      </c>
      <c r="D12" s="8" t="s">
        <v>14</v>
      </c>
      <c r="E12" s="7" t="s">
        <v>29</v>
      </c>
      <c r="F12" s="7" t="s">
        <v>30</v>
      </c>
      <c r="G12" s="7" t="s">
        <v>17</v>
      </c>
    </row>
    <row r="13">
      <c r="A13" s="7" t="s">
        <v>31</v>
      </c>
      <c r="B13" s="7" t="s">
        <v>32</v>
      </c>
      <c r="C13" s="7" t="s">
        <v>33</v>
      </c>
      <c r="D13" s="8" t="s">
        <v>14</v>
      </c>
      <c r="E13" s="7" t="s">
        <v>34</v>
      </c>
      <c r="F13" s="7" t="s">
        <v>34</v>
      </c>
      <c r="G13" s="7" t="s">
        <v>17</v>
      </c>
    </row>
    <row r="14">
      <c r="A14" s="7" t="s">
        <v>35</v>
      </c>
      <c r="B14" s="7" t="s">
        <v>36</v>
      </c>
      <c r="C14" s="7" t="s">
        <v>37</v>
      </c>
      <c r="D14" s="8" t="s">
        <v>14</v>
      </c>
      <c r="E14" s="7" t="s">
        <v>38</v>
      </c>
      <c r="F14" s="7" t="s">
        <v>39</v>
      </c>
      <c r="G14" s="7" t="s">
        <v>17</v>
      </c>
    </row>
    <row r="15">
      <c r="A15" s="7" t="s">
        <v>40</v>
      </c>
      <c r="B15" s="7" t="s">
        <v>41</v>
      </c>
      <c r="C15" s="7" t="s">
        <v>42</v>
      </c>
      <c r="D15" s="8" t="s">
        <v>14</v>
      </c>
      <c r="E15" s="7" t="s">
        <v>43</v>
      </c>
      <c r="F15" s="7" t="s">
        <v>44</v>
      </c>
      <c r="G15" s="7" t="s">
        <v>45</v>
      </c>
      <c r="H15" s="9" t="s">
        <v>46</v>
      </c>
    </row>
    <row r="16">
      <c r="A16" s="7" t="s">
        <v>47</v>
      </c>
      <c r="B16" s="7" t="s">
        <v>48</v>
      </c>
      <c r="C16" s="7" t="s">
        <v>49</v>
      </c>
      <c r="D16" s="8" t="s">
        <v>14</v>
      </c>
      <c r="E16" s="7" t="s">
        <v>50</v>
      </c>
      <c r="F16" s="7" t="s">
        <v>51</v>
      </c>
      <c r="G16" s="7" t="s">
        <v>17</v>
      </c>
    </row>
    <row r="17">
      <c r="A17" s="7" t="s">
        <v>52</v>
      </c>
      <c r="B17" s="7" t="s">
        <v>53</v>
      </c>
      <c r="C17" s="7" t="s">
        <v>54</v>
      </c>
      <c r="D17" s="8" t="s">
        <v>14</v>
      </c>
      <c r="E17" s="7" t="s">
        <v>24</v>
      </c>
      <c r="F17" s="7" t="s">
        <v>55</v>
      </c>
      <c r="G17" s="7" t="s">
        <v>17</v>
      </c>
    </row>
    <row r="18">
      <c r="A18" s="7" t="s">
        <v>56</v>
      </c>
      <c r="B18" s="7" t="s">
        <v>57</v>
      </c>
      <c r="C18" s="7" t="s">
        <v>58</v>
      </c>
      <c r="D18" s="8" t="s">
        <v>14</v>
      </c>
      <c r="E18" s="7" t="s">
        <v>29</v>
      </c>
      <c r="F18" s="7" t="s">
        <v>59</v>
      </c>
      <c r="G18" s="7" t="s">
        <v>17</v>
      </c>
    </row>
    <row r="19">
      <c r="A19" s="6" t="s">
        <v>60</v>
      </c>
      <c r="B19" s="6"/>
      <c r="C19" s="6"/>
      <c r="D19" s="6"/>
      <c r="E19" s="6"/>
      <c r="F19" s="6"/>
      <c r="G19" s="6"/>
      <c r="H19" s="6"/>
    </row>
    <row r="20">
      <c r="A20" s="7" t="s">
        <v>61</v>
      </c>
      <c r="B20" s="7" t="s">
        <v>62</v>
      </c>
      <c r="C20" s="7" t="s">
        <v>63</v>
      </c>
      <c r="D20" s="8" t="s">
        <v>14</v>
      </c>
      <c r="E20" s="7" t="s">
        <v>64</v>
      </c>
      <c r="F20" s="7" t="s">
        <v>65</v>
      </c>
      <c r="G20" s="7" t="s">
        <v>17</v>
      </c>
    </row>
    <row r="21">
      <c r="A21" s="7" t="s">
        <v>66</v>
      </c>
      <c r="B21" s="7" t="s">
        <v>67</v>
      </c>
      <c r="C21" s="7" t="s">
        <v>68</v>
      </c>
      <c r="D21" s="8" t="s">
        <v>14</v>
      </c>
      <c r="E21" s="7" t="s">
        <v>64</v>
      </c>
      <c r="F21" s="7" t="s">
        <v>69</v>
      </c>
      <c r="G21" s="7" t="s">
        <v>45</v>
      </c>
      <c r="H21" s="9" t="s">
        <v>70</v>
      </c>
    </row>
    <row r="22">
      <c r="A22" s="7" t="s">
        <v>71</v>
      </c>
      <c r="B22" s="7" t="s">
        <v>72</v>
      </c>
      <c r="C22" s="7" t="s">
        <v>73</v>
      </c>
      <c r="D22" s="8" t="s">
        <v>14</v>
      </c>
      <c r="E22" s="7" t="s">
        <v>64</v>
      </c>
      <c r="F22" s="7" t="s">
        <v>74</v>
      </c>
      <c r="G22" s="7" t="s">
        <v>45</v>
      </c>
      <c r="H22" s="9" t="s">
        <v>75</v>
      </c>
    </row>
    <row r="23">
      <c r="A23" s="7" t="s">
        <v>76</v>
      </c>
      <c r="B23" s="7" t="s">
        <v>77</v>
      </c>
      <c r="C23" s="7" t="s">
        <v>78</v>
      </c>
      <c r="D23" s="8" t="s">
        <v>14</v>
      </c>
      <c r="E23" s="7" t="s">
        <v>64</v>
      </c>
      <c r="F23" s="7" t="s">
        <v>79</v>
      </c>
      <c r="G23" s="7" t="s">
        <v>45</v>
      </c>
      <c r="H23" s="9" t="s">
        <v>80</v>
      </c>
    </row>
    <row r="24">
      <c r="A24" s="7" t="s">
        <v>81</v>
      </c>
      <c r="B24" s="7" t="s">
        <v>82</v>
      </c>
      <c r="C24" s="7" t="s">
        <v>83</v>
      </c>
      <c r="D24" s="8" t="s">
        <v>14</v>
      </c>
      <c r="E24" s="7" t="s">
        <v>64</v>
      </c>
      <c r="F24" s="7" t="s">
        <v>84</v>
      </c>
      <c r="G24" s="7" t="s">
        <v>45</v>
      </c>
      <c r="H24" s="9" t="s">
        <v>85</v>
      </c>
    </row>
    <row r="25">
      <c r="A25" s="7" t="s">
        <v>86</v>
      </c>
      <c r="B25" s="7" t="s">
        <v>87</v>
      </c>
      <c r="C25" s="7" t="s">
        <v>88</v>
      </c>
      <c r="D25" s="8" t="s">
        <v>14</v>
      </c>
      <c r="E25" s="7" t="s">
        <v>89</v>
      </c>
      <c r="F25" s="7" t="s">
        <v>90</v>
      </c>
      <c r="G25" s="7" t="s">
        <v>17</v>
      </c>
    </row>
    <row r="26">
      <c r="A26" s="7" t="s">
        <v>91</v>
      </c>
      <c r="B26" s="7" t="s">
        <v>92</v>
      </c>
      <c r="C26" s="7" t="s">
        <v>93</v>
      </c>
      <c r="D26" s="8" t="s">
        <v>14</v>
      </c>
      <c r="E26" s="7" t="s">
        <v>89</v>
      </c>
      <c r="F26" s="7" t="s">
        <v>90</v>
      </c>
      <c r="G26" s="7" t="s">
        <v>17</v>
      </c>
    </row>
    <row r="27">
      <c r="A27" s="7" t="s">
        <v>94</v>
      </c>
      <c r="B27" s="7" t="s">
        <v>95</v>
      </c>
      <c r="C27" s="7" t="s">
        <v>96</v>
      </c>
      <c r="D27" s="8" t="s">
        <v>14</v>
      </c>
      <c r="E27" s="7" t="s">
        <v>89</v>
      </c>
      <c r="F27" s="7" t="s">
        <v>90</v>
      </c>
      <c r="G27" s="7" t="s">
        <v>17</v>
      </c>
    </row>
    <row r="28">
      <c r="A28" s="7" t="s">
        <v>97</v>
      </c>
      <c r="B28" s="7" t="s">
        <v>98</v>
      </c>
      <c r="C28" s="7" t="s">
        <v>99</v>
      </c>
      <c r="D28" s="8" t="s">
        <v>14</v>
      </c>
      <c r="E28" s="7" t="s">
        <v>89</v>
      </c>
      <c r="F28" s="7" t="s">
        <v>90</v>
      </c>
      <c r="G28" s="7" t="s">
        <v>17</v>
      </c>
    </row>
    <row r="29">
      <c r="A29" s="7" t="s">
        <v>100</v>
      </c>
      <c r="B29" s="7" t="s">
        <v>101</v>
      </c>
      <c r="C29" s="7" t="s">
        <v>102</v>
      </c>
      <c r="D29" s="8" t="s">
        <v>14</v>
      </c>
      <c r="E29" s="7" t="s">
        <v>103</v>
      </c>
      <c r="F29" s="7" t="s">
        <v>104</v>
      </c>
      <c r="G29" s="7" t="s">
        <v>45</v>
      </c>
      <c r="H29" s="9" t="s">
        <v>105</v>
      </c>
    </row>
    <row r="32">
      <c r="A32" s="5" t="s">
        <v>8</v>
      </c>
      <c r="B32" s="5" t="s">
        <v>106</v>
      </c>
    </row>
    <row r="33">
      <c r="A33" s="7" t="s">
        <v>17</v>
      </c>
      <c r="B33" s="10">
        <f>COUNTIF(G:G,"Pass")</f>
        <v>14</v>
      </c>
    </row>
    <row r="34">
      <c r="A34" s="7" t="s">
        <v>45</v>
      </c>
      <c r="B34" s="10">
        <f>COUNTIF(G:G,"Fail")</f>
        <v>6</v>
      </c>
    </row>
  </sheetData>
  <mergeCells count="3">
    <mergeCell ref="A1:H3"/>
    <mergeCell ref="A4:H6"/>
    <mergeCell ref="A8:H8"/>
  </mergeCells>
  <dataValidations>
    <dataValidation type="list" allowBlank="1" showErrorMessage="1" sqref="G9:G18 G20:G29">
      <formula1>"Pass,Fail"</formula1>
    </dataValidation>
  </dataValidations>
  <hyperlinks>
    <hyperlink r:id="rId1" ref="D9"/>
    <hyperlink r:id="rId2" ref="D10"/>
    <hyperlink r:id="rId3" ref="D11"/>
    <hyperlink r:id="rId4" ref="D12"/>
    <hyperlink r:id="rId5" ref="D13"/>
    <hyperlink r:id="rId6" ref="D14"/>
    <hyperlink r:id="rId7" ref="D15"/>
    <hyperlink r:id="rId8" ref="H15"/>
    <hyperlink r:id="rId9" ref="D16"/>
    <hyperlink r:id="rId10" ref="D17"/>
    <hyperlink r:id="rId11" ref="D18"/>
    <hyperlink r:id="rId12" ref="D20"/>
    <hyperlink r:id="rId13" ref="D21"/>
    <hyperlink r:id="rId14" ref="H21"/>
    <hyperlink r:id="rId15" ref="D22"/>
    <hyperlink r:id="rId16" ref="H22"/>
    <hyperlink r:id="rId17" ref="D23"/>
    <hyperlink r:id="rId18" ref="H23"/>
    <hyperlink r:id="rId19" ref="D24"/>
    <hyperlink r:id="rId20" ref="H24"/>
    <hyperlink r:id="rId21" ref="D25"/>
    <hyperlink r:id="rId22" ref="D26"/>
    <hyperlink r:id="rId23" ref="D27"/>
    <hyperlink r:id="rId24" ref="D28"/>
    <hyperlink r:id="rId25" ref="D29"/>
    <hyperlink r:id="rId26" ref="H29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37.63"/>
    <col customWidth="1" min="8" max="8" width="26.13"/>
  </cols>
  <sheetData>
    <row r="1">
      <c r="A1" s="1" t="s">
        <v>0</v>
      </c>
    </row>
    <row r="4">
      <c r="A4" s="2" t="s">
        <v>107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</row>
    <row r="8">
      <c r="A8" s="6" t="s">
        <v>10</v>
      </c>
    </row>
    <row r="9">
      <c r="A9" s="7" t="s">
        <v>108</v>
      </c>
      <c r="B9" s="7" t="s">
        <v>109</v>
      </c>
      <c r="C9" s="7" t="s">
        <v>110</v>
      </c>
      <c r="D9" s="11" t="s">
        <v>111</v>
      </c>
      <c r="E9" s="7" t="s">
        <v>112</v>
      </c>
      <c r="F9" s="7" t="s">
        <v>113</v>
      </c>
      <c r="G9" s="7" t="s">
        <v>45</v>
      </c>
      <c r="H9" s="12" t="s">
        <v>114</v>
      </c>
    </row>
    <row r="10">
      <c r="A10" s="7" t="s">
        <v>115</v>
      </c>
      <c r="B10" s="7" t="s">
        <v>116</v>
      </c>
      <c r="C10" s="7" t="s">
        <v>117</v>
      </c>
      <c r="D10" s="8" t="s">
        <v>118</v>
      </c>
      <c r="E10" s="7" t="s">
        <v>119</v>
      </c>
      <c r="F10" s="7" t="s">
        <v>120</v>
      </c>
      <c r="G10" s="7" t="s">
        <v>17</v>
      </c>
    </row>
    <row r="11">
      <c r="A11" s="7" t="s">
        <v>121</v>
      </c>
      <c r="B11" s="7" t="s">
        <v>122</v>
      </c>
      <c r="C11" s="7" t="s">
        <v>123</v>
      </c>
      <c r="D11" s="8" t="s">
        <v>124</v>
      </c>
      <c r="E11" s="7" t="s">
        <v>119</v>
      </c>
      <c r="F11" s="7" t="s">
        <v>120</v>
      </c>
      <c r="G11" s="7" t="s">
        <v>17</v>
      </c>
    </row>
    <row r="12">
      <c r="A12" s="7" t="s">
        <v>125</v>
      </c>
      <c r="B12" s="7" t="s">
        <v>126</v>
      </c>
      <c r="C12" s="7" t="s">
        <v>127</v>
      </c>
      <c r="D12" s="8" t="s">
        <v>128</v>
      </c>
      <c r="E12" s="7" t="s">
        <v>129</v>
      </c>
      <c r="F12" s="7" t="s">
        <v>130</v>
      </c>
      <c r="G12" s="7" t="s">
        <v>17</v>
      </c>
    </row>
    <row r="13">
      <c r="A13" s="7" t="s">
        <v>131</v>
      </c>
      <c r="B13" s="7" t="s">
        <v>132</v>
      </c>
      <c r="C13" s="7" t="s">
        <v>133</v>
      </c>
      <c r="D13" s="8" t="s">
        <v>134</v>
      </c>
      <c r="E13" s="7" t="s">
        <v>129</v>
      </c>
      <c r="F13" s="7" t="s">
        <v>135</v>
      </c>
      <c r="G13" s="7" t="s">
        <v>45</v>
      </c>
      <c r="H13" s="9" t="s">
        <v>136</v>
      </c>
    </row>
    <row r="14">
      <c r="A14" s="7" t="s">
        <v>137</v>
      </c>
      <c r="B14" s="7" t="s">
        <v>138</v>
      </c>
      <c r="C14" s="7" t="s">
        <v>139</v>
      </c>
      <c r="D14" s="8" t="s">
        <v>140</v>
      </c>
      <c r="E14" s="7" t="s">
        <v>129</v>
      </c>
      <c r="F14" s="7" t="s">
        <v>141</v>
      </c>
      <c r="G14" s="7" t="s">
        <v>17</v>
      </c>
    </row>
    <row r="15">
      <c r="A15" s="7" t="s">
        <v>142</v>
      </c>
      <c r="B15" s="7" t="s">
        <v>143</v>
      </c>
      <c r="C15" s="7" t="s">
        <v>144</v>
      </c>
      <c r="D15" s="8" t="s">
        <v>145</v>
      </c>
      <c r="E15" s="7" t="s">
        <v>129</v>
      </c>
      <c r="F15" s="7" t="s">
        <v>146</v>
      </c>
      <c r="G15" s="7" t="s">
        <v>45</v>
      </c>
      <c r="H15" s="9" t="s">
        <v>147</v>
      </c>
    </row>
    <row r="18">
      <c r="A18" s="5" t="s">
        <v>8</v>
      </c>
      <c r="B18" s="5" t="s">
        <v>106</v>
      </c>
    </row>
    <row r="19">
      <c r="A19" s="7" t="s">
        <v>17</v>
      </c>
      <c r="B19" s="10">
        <f>COUNTIF(G:G,"Pass")</f>
        <v>4</v>
      </c>
    </row>
    <row r="20">
      <c r="A20" s="7" t="s">
        <v>45</v>
      </c>
      <c r="B20" s="10">
        <f>COUNTIF(G:G,"Fail")</f>
        <v>3</v>
      </c>
    </row>
  </sheetData>
  <mergeCells count="3">
    <mergeCell ref="A1:H3"/>
    <mergeCell ref="A4:H6"/>
    <mergeCell ref="A8:H8"/>
  </mergeCells>
  <dataValidations>
    <dataValidation type="list" allowBlank="1" showErrorMessage="1" sqref="G9:G15">
      <formula1>"Pass,Fail"</formula1>
    </dataValidation>
  </dataValidations>
  <hyperlinks>
    <hyperlink r:id="rId1" ref="D9"/>
    <hyperlink r:id="rId2" ref="H9"/>
    <hyperlink r:id="rId3" ref="D10"/>
    <hyperlink r:id="rId4" ref="D11"/>
    <hyperlink r:id="rId5" ref="D12"/>
    <hyperlink r:id="rId6" ref="D13"/>
    <hyperlink r:id="rId7" ref="H13"/>
    <hyperlink r:id="rId8" ref="D14"/>
    <hyperlink r:id="rId9" ref="D15"/>
    <hyperlink r:id="rId10" ref="H15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37.63"/>
    <col customWidth="1" min="8" max="8" width="13.0"/>
  </cols>
  <sheetData>
    <row r="1">
      <c r="A1" s="1" t="s">
        <v>148</v>
      </c>
    </row>
    <row r="4">
      <c r="A4" s="2" t="s">
        <v>149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</row>
    <row r="8">
      <c r="A8" s="6" t="s">
        <v>150</v>
      </c>
    </row>
    <row r="9">
      <c r="A9" s="7" t="s">
        <v>151</v>
      </c>
      <c r="B9" s="7" t="s">
        <v>152</v>
      </c>
      <c r="C9" s="7" t="s">
        <v>153</v>
      </c>
      <c r="D9" s="13" t="s">
        <v>154</v>
      </c>
      <c r="E9" s="14" t="s">
        <v>155</v>
      </c>
      <c r="F9" s="14" t="s">
        <v>156</v>
      </c>
      <c r="G9" s="7" t="s">
        <v>17</v>
      </c>
    </row>
    <row r="10">
      <c r="A10" s="7" t="s">
        <v>157</v>
      </c>
      <c r="B10" s="7" t="s">
        <v>122</v>
      </c>
      <c r="C10" s="7" t="s">
        <v>158</v>
      </c>
      <c r="D10" s="13" t="s">
        <v>159</v>
      </c>
      <c r="E10" s="14" t="s">
        <v>160</v>
      </c>
      <c r="F10" s="14" t="s">
        <v>156</v>
      </c>
      <c r="G10" s="7" t="s">
        <v>17</v>
      </c>
    </row>
    <row r="11">
      <c r="A11" s="7" t="s">
        <v>161</v>
      </c>
      <c r="B11" s="7" t="s">
        <v>162</v>
      </c>
      <c r="C11" s="7" t="s">
        <v>163</v>
      </c>
      <c r="D11" s="13" t="s">
        <v>164</v>
      </c>
      <c r="E11" s="14" t="s">
        <v>160</v>
      </c>
      <c r="F11" s="14" t="s">
        <v>165</v>
      </c>
      <c r="G11" s="7" t="s">
        <v>17</v>
      </c>
    </row>
    <row r="12">
      <c r="A12" s="7" t="s">
        <v>166</v>
      </c>
      <c r="B12" s="7" t="s">
        <v>126</v>
      </c>
      <c r="C12" s="7" t="s">
        <v>167</v>
      </c>
      <c r="D12" s="13" t="s">
        <v>168</v>
      </c>
      <c r="E12" s="14" t="s">
        <v>160</v>
      </c>
      <c r="F12" s="14" t="s">
        <v>165</v>
      </c>
      <c r="G12" s="7" t="s">
        <v>17</v>
      </c>
    </row>
    <row r="13">
      <c r="A13" s="7" t="s">
        <v>169</v>
      </c>
      <c r="B13" s="7" t="s">
        <v>170</v>
      </c>
      <c r="C13" s="7" t="s">
        <v>171</v>
      </c>
      <c r="D13" s="13" t="s">
        <v>172</v>
      </c>
      <c r="E13" s="14" t="s">
        <v>160</v>
      </c>
      <c r="F13" s="14" t="s">
        <v>165</v>
      </c>
      <c r="G13" s="7" t="s">
        <v>17</v>
      </c>
    </row>
    <row r="14">
      <c r="A14" s="7" t="s">
        <v>173</v>
      </c>
      <c r="B14" s="7" t="s">
        <v>174</v>
      </c>
      <c r="C14" s="7" t="s">
        <v>175</v>
      </c>
      <c r="D14" s="13" t="s">
        <v>176</v>
      </c>
      <c r="E14" s="14" t="s">
        <v>160</v>
      </c>
      <c r="F14" s="14" t="s">
        <v>165</v>
      </c>
      <c r="G14" s="7" t="s">
        <v>17</v>
      </c>
    </row>
    <row r="15">
      <c r="A15" s="7" t="s">
        <v>177</v>
      </c>
      <c r="B15" s="7" t="s">
        <v>178</v>
      </c>
      <c r="C15" s="7" t="s">
        <v>179</v>
      </c>
      <c r="D15" s="13" t="s">
        <v>180</v>
      </c>
      <c r="E15" s="14" t="s">
        <v>181</v>
      </c>
      <c r="F15" s="14" t="s">
        <v>165</v>
      </c>
      <c r="G15" s="7" t="s">
        <v>45</v>
      </c>
      <c r="H15" s="9" t="s">
        <v>182</v>
      </c>
    </row>
    <row r="16">
      <c r="A16" s="7" t="s">
        <v>183</v>
      </c>
      <c r="B16" s="7" t="s">
        <v>184</v>
      </c>
      <c r="C16" s="7" t="s">
        <v>185</v>
      </c>
      <c r="D16" s="13" t="s">
        <v>186</v>
      </c>
      <c r="E16" s="14" t="s">
        <v>181</v>
      </c>
      <c r="F16" s="14" t="s">
        <v>156</v>
      </c>
      <c r="G16" s="7" t="s">
        <v>17</v>
      </c>
    </row>
    <row r="17">
      <c r="A17" s="7" t="s">
        <v>187</v>
      </c>
      <c r="B17" s="7" t="s">
        <v>188</v>
      </c>
      <c r="C17" s="7" t="s">
        <v>189</v>
      </c>
      <c r="D17" s="13" t="s">
        <v>190</v>
      </c>
      <c r="E17" s="14" t="s">
        <v>160</v>
      </c>
      <c r="F17" s="14" t="s">
        <v>165</v>
      </c>
      <c r="G17" s="7" t="s">
        <v>17</v>
      </c>
    </row>
    <row r="18">
      <c r="A18" s="7" t="s">
        <v>191</v>
      </c>
      <c r="B18" s="7" t="s">
        <v>192</v>
      </c>
      <c r="C18" s="7" t="s">
        <v>193</v>
      </c>
      <c r="D18" s="13" t="s">
        <v>194</v>
      </c>
      <c r="E18" s="14" t="s">
        <v>181</v>
      </c>
      <c r="F18" s="14" t="s">
        <v>165</v>
      </c>
      <c r="G18" s="7" t="s">
        <v>17</v>
      </c>
    </row>
    <row r="19">
      <c r="A19" s="7" t="s">
        <v>195</v>
      </c>
      <c r="B19" s="7" t="s">
        <v>196</v>
      </c>
      <c r="C19" s="7" t="s">
        <v>197</v>
      </c>
      <c r="D19" s="13" t="s">
        <v>198</v>
      </c>
      <c r="E19" s="14" t="s">
        <v>160</v>
      </c>
      <c r="F19" s="14" t="s">
        <v>165</v>
      </c>
      <c r="G19" s="7" t="s">
        <v>17</v>
      </c>
    </row>
    <row r="20">
      <c r="A20" s="7" t="s">
        <v>199</v>
      </c>
      <c r="B20" s="7" t="s">
        <v>200</v>
      </c>
      <c r="C20" s="7" t="s">
        <v>201</v>
      </c>
      <c r="D20" s="13" t="s">
        <v>202</v>
      </c>
      <c r="E20" s="14" t="s">
        <v>160</v>
      </c>
      <c r="F20" s="14" t="s">
        <v>165</v>
      </c>
      <c r="G20" s="7" t="s">
        <v>17</v>
      </c>
    </row>
    <row r="21">
      <c r="A21" s="7" t="s">
        <v>203</v>
      </c>
      <c r="B21" s="7" t="s">
        <v>204</v>
      </c>
      <c r="C21" s="7" t="s">
        <v>205</v>
      </c>
      <c r="D21" s="13" t="s">
        <v>206</v>
      </c>
      <c r="E21" s="14" t="s">
        <v>181</v>
      </c>
      <c r="F21" s="14" t="s">
        <v>165</v>
      </c>
      <c r="G21" s="7" t="s">
        <v>45</v>
      </c>
      <c r="H21" s="12" t="s">
        <v>207</v>
      </c>
    </row>
    <row r="22">
      <c r="A22" s="6" t="s">
        <v>60</v>
      </c>
    </row>
    <row r="23">
      <c r="A23" s="7" t="s">
        <v>208</v>
      </c>
      <c r="B23" s="7" t="s">
        <v>209</v>
      </c>
      <c r="C23" s="7" t="s">
        <v>210</v>
      </c>
      <c r="D23" s="13" t="s">
        <v>211</v>
      </c>
      <c r="E23" s="7" t="s">
        <v>64</v>
      </c>
      <c r="F23" s="7" t="s">
        <v>212</v>
      </c>
      <c r="G23" s="7" t="s">
        <v>17</v>
      </c>
    </row>
    <row r="26">
      <c r="A26" s="5" t="s">
        <v>8</v>
      </c>
      <c r="B26" s="5" t="s">
        <v>106</v>
      </c>
    </row>
    <row r="27">
      <c r="A27" s="7" t="s">
        <v>17</v>
      </c>
      <c r="B27" s="10">
        <f>COUNTIF(G:G,"Pass")</f>
        <v>12</v>
      </c>
    </row>
    <row r="28">
      <c r="A28" s="7" t="s">
        <v>45</v>
      </c>
      <c r="B28" s="10">
        <f>COUNTIF(G:G,"Fail")</f>
        <v>2</v>
      </c>
    </row>
  </sheetData>
  <mergeCells count="4">
    <mergeCell ref="A1:H3"/>
    <mergeCell ref="A4:H6"/>
    <mergeCell ref="A8:H8"/>
    <mergeCell ref="A22:H22"/>
  </mergeCells>
  <dataValidations>
    <dataValidation type="list" allowBlank="1" showErrorMessage="1" sqref="G9:G21 G23">
      <formula1>"Pass,Fail"</formula1>
    </dataValidation>
  </dataValidations>
  <hyperlinks>
    <hyperlink r:id="rId1" ref="D9"/>
    <hyperlink r:id="rId2" ref="D10"/>
    <hyperlink r:id="rId3" ref="D11"/>
    <hyperlink r:id="rId4" ref="D12"/>
    <hyperlink r:id="rId5" ref="D13"/>
    <hyperlink r:id="rId6" ref="D14"/>
    <hyperlink r:id="rId7" ref="D15"/>
    <hyperlink r:id="rId8" ref="H15"/>
    <hyperlink r:id="rId9" ref="D16"/>
    <hyperlink r:id="rId10" ref="D17"/>
    <hyperlink r:id="rId11" ref="D18"/>
    <hyperlink r:id="rId12" ref="D19"/>
    <hyperlink r:id="rId13" ref="D20"/>
    <hyperlink r:id="rId14" ref="D21"/>
    <hyperlink r:id="rId15" ref="H21"/>
    <hyperlink r:id="rId16" ref="D23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A1" s="15" t="s">
        <v>5</v>
      </c>
    </row>
    <row r="3">
      <c r="A3" s="16" t="s">
        <v>2</v>
      </c>
      <c r="B3" s="16" t="s">
        <v>213</v>
      </c>
    </row>
    <row r="4">
      <c r="A4" s="7" t="s">
        <v>151</v>
      </c>
      <c r="B4" s="7" t="s">
        <v>214</v>
      </c>
    </row>
    <row r="5">
      <c r="A5" s="7" t="s">
        <v>157</v>
      </c>
      <c r="B5" s="7" t="s">
        <v>215</v>
      </c>
    </row>
    <row r="6">
      <c r="A6" s="7" t="s">
        <v>161</v>
      </c>
      <c r="B6" s="7" t="s">
        <v>216</v>
      </c>
    </row>
    <row r="7">
      <c r="A7" s="7" t="s">
        <v>166</v>
      </c>
      <c r="B7" s="7" t="s">
        <v>217</v>
      </c>
    </row>
    <row r="8">
      <c r="A8" s="7" t="s">
        <v>169</v>
      </c>
      <c r="B8" s="7" t="s">
        <v>218</v>
      </c>
    </row>
    <row r="9">
      <c r="A9" s="7" t="s">
        <v>173</v>
      </c>
      <c r="B9" s="7" t="s">
        <v>219</v>
      </c>
    </row>
    <row r="10">
      <c r="A10" s="7" t="s">
        <v>177</v>
      </c>
      <c r="B10" s="7" t="s">
        <v>220</v>
      </c>
    </row>
    <row r="11">
      <c r="A11" s="7" t="s">
        <v>183</v>
      </c>
      <c r="B11" s="7" t="s">
        <v>221</v>
      </c>
    </row>
    <row r="12">
      <c r="A12" s="7" t="s">
        <v>187</v>
      </c>
      <c r="B12" s="7" t="s">
        <v>222</v>
      </c>
    </row>
    <row r="13">
      <c r="A13" s="7" t="s">
        <v>191</v>
      </c>
      <c r="B13" s="7" t="s">
        <v>223</v>
      </c>
    </row>
    <row r="14">
      <c r="A14" s="7" t="s">
        <v>195</v>
      </c>
      <c r="B14" s="7" t="s">
        <v>224</v>
      </c>
    </row>
    <row r="15">
      <c r="A15" s="7" t="s">
        <v>199</v>
      </c>
      <c r="B15" s="7" t="s">
        <v>224</v>
      </c>
    </row>
    <row r="16">
      <c r="A16" s="7" t="s">
        <v>203</v>
      </c>
      <c r="B16" s="7" t="s">
        <v>225</v>
      </c>
    </row>
  </sheetData>
  <mergeCells count="1">
    <mergeCell ref="A1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5"/>
  </cols>
  <sheetData>
    <row r="1">
      <c r="A1" s="15" t="s">
        <v>226</v>
      </c>
    </row>
    <row r="3">
      <c r="A3" s="3" t="s">
        <v>2</v>
      </c>
      <c r="B3" s="4" t="s">
        <v>227</v>
      </c>
    </row>
    <row r="4">
      <c r="A4" s="7" t="s">
        <v>66</v>
      </c>
      <c r="B4" s="7" t="s">
        <v>228</v>
      </c>
    </row>
    <row r="5">
      <c r="A5" s="7" t="s">
        <v>71</v>
      </c>
      <c r="B5" s="7" t="s">
        <v>229</v>
      </c>
    </row>
    <row r="6">
      <c r="A6" s="7" t="s">
        <v>76</v>
      </c>
      <c r="B6" s="7" t="s">
        <v>230</v>
      </c>
    </row>
    <row r="7">
      <c r="A7" s="7" t="s">
        <v>81</v>
      </c>
      <c r="B7" s="7" t="s">
        <v>231</v>
      </c>
    </row>
  </sheetData>
  <mergeCells count="1">
    <mergeCell ref="A1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37.63"/>
    <col customWidth="1" min="6" max="6" width="15.25"/>
    <col customWidth="1" min="7" max="7" width="14.5"/>
    <col customWidth="1" min="8" max="8" width="9.25"/>
    <col customWidth="1" min="9" max="9" width="26.13"/>
  </cols>
  <sheetData>
    <row r="1">
      <c r="A1" s="1" t="s">
        <v>148</v>
      </c>
    </row>
    <row r="4">
      <c r="A4" s="2" t="s">
        <v>232</v>
      </c>
    </row>
    <row r="7">
      <c r="A7" s="17" t="s">
        <v>233</v>
      </c>
      <c r="B7" s="17" t="s">
        <v>2</v>
      </c>
      <c r="C7" s="17" t="s">
        <v>6</v>
      </c>
      <c r="D7" s="17" t="s">
        <v>234</v>
      </c>
      <c r="E7" s="17" t="s">
        <v>235</v>
      </c>
      <c r="F7" s="17" t="s">
        <v>236</v>
      </c>
      <c r="G7" s="17" t="s">
        <v>237</v>
      </c>
      <c r="H7" s="17" t="s">
        <v>8</v>
      </c>
      <c r="I7" s="4" t="s">
        <v>9</v>
      </c>
    </row>
    <row r="8">
      <c r="A8" s="7" t="s">
        <v>238</v>
      </c>
      <c r="B8" s="7" t="s">
        <v>40</v>
      </c>
      <c r="C8" s="7" t="s">
        <v>41</v>
      </c>
      <c r="D8" s="7" t="s">
        <v>239</v>
      </c>
      <c r="E8" s="7" t="s">
        <v>42</v>
      </c>
      <c r="F8" s="18" t="s">
        <v>240</v>
      </c>
      <c r="G8" s="18" t="s">
        <v>241</v>
      </c>
      <c r="H8" s="18" t="s">
        <v>242</v>
      </c>
      <c r="I8" s="9" t="s">
        <v>46</v>
      </c>
    </row>
    <row r="9">
      <c r="A9" s="7" t="s">
        <v>243</v>
      </c>
      <c r="B9" s="7" t="s">
        <v>66</v>
      </c>
      <c r="C9" s="7" t="s">
        <v>67</v>
      </c>
      <c r="D9" s="7" t="s">
        <v>244</v>
      </c>
      <c r="E9" s="7" t="s">
        <v>68</v>
      </c>
      <c r="F9" s="19" t="s">
        <v>245</v>
      </c>
      <c r="G9" s="19" t="s">
        <v>246</v>
      </c>
      <c r="H9" s="18" t="s">
        <v>242</v>
      </c>
      <c r="I9" s="9" t="s">
        <v>70</v>
      </c>
    </row>
    <row r="10">
      <c r="A10" s="7" t="s">
        <v>247</v>
      </c>
      <c r="B10" s="7" t="s">
        <v>71</v>
      </c>
      <c r="C10" s="7" t="s">
        <v>72</v>
      </c>
      <c r="D10" s="7" t="s">
        <v>244</v>
      </c>
      <c r="E10" s="7" t="s">
        <v>73</v>
      </c>
      <c r="F10" s="19" t="s">
        <v>245</v>
      </c>
      <c r="G10" s="19" t="s">
        <v>246</v>
      </c>
      <c r="H10" s="18" t="s">
        <v>242</v>
      </c>
      <c r="I10" s="9" t="s">
        <v>75</v>
      </c>
    </row>
    <row r="11">
      <c r="A11" s="7" t="s">
        <v>248</v>
      </c>
      <c r="B11" s="7" t="s">
        <v>76</v>
      </c>
      <c r="C11" s="7" t="s">
        <v>77</v>
      </c>
      <c r="D11" s="7" t="s">
        <v>244</v>
      </c>
      <c r="E11" s="7" t="s">
        <v>78</v>
      </c>
      <c r="F11" s="19" t="s">
        <v>245</v>
      </c>
      <c r="G11" s="19" t="s">
        <v>246</v>
      </c>
      <c r="H11" s="18" t="s">
        <v>242</v>
      </c>
      <c r="I11" s="9" t="s">
        <v>80</v>
      </c>
    </row>
    <row r="12">
      <c r="A12" s="7" t="s">
        <v>249</v>
      </c>
      <c r="B12" s="7" t="s">
        <v>81</v>
      </c>
      <c r="C12" s="7" t="s">
        <v>82</v>
      </c>
      <c r="D12" s="7" t="s">
        <v>244</v>
      </c>
      <c r="E12" s="7" t="s">
        <v>83</v>
      </c>
      <c r="F12" s="19" t="s">
        <v>245</v>
      </c>
      <c r="G12" s="19" t="s">
        <v>246</v>
      </c>
      <c r="H12" s="18" t="s">
        <v>242</v>
      </c>
      <c r="I12" s="9" t="s">
        <v>85</v>
      </c>
    </row>
    <row r="13">
      <c r="A13" s="7" t="s">
        <v>250</v>
      </c>
      <c r="B13" s="7" t="s">
        <v>100</v>
      </c>
      <c r="C13" s="7" t="s">
        <v>103</v>
      </c>
      <c r="D13" s="7" t="s">
        <v>104</v>
      </c>
      <c r="E13" s="7" t="s">
        <v>102</v>
      </c>
      <c r="F13" s="19" t="s">
        <v>245</v>
      </c>
      <c r="G13" s="19" t="s">
        <v>245</v>
      </c>
      <c r="H13" s="18" t="s">
        <v>242</v>
      </c>
      <c r="I13" s="9" t="s">
        <v>105</v>
      </c>
    </row>
    <row r="14">
      <c r="A14" s="7" t="s">
        <v>251</v>
      </c>
      <c r="B14" s="7" t="s">
        <v>108</v>
      </c>
      <c r="C14" s="7" t="s">
        <v>112</v>
      </c>
      <c r="D14" s="7" t="s">
        <v>252</v>
      </c>
      <c r="E14" s="7" t="s">
        <v>110</v>
      </c>
      <c r="F14" s="19" t="s">
        <v>245</v>
      </c>
      <c r="G14" s="19" t="s">
        <v>241</v>
      </c>
      <c r="H14" s="18" t="s">
        <v>242</v>
      </c>
      <c r="I14" s="12" t="s">
        <v>114</v>
      </c>
    </row>
    <row r="15">
      <c r="A15" s="7" t="s">
        <v>253</v>
      </c>
      <c r="B15" s="7" t="s">
        <v>131</v>
      </c>
      <c r="C15" s="7" t="s">
        <v>129</v>
      </c>
      <c r="D15" s="20" t="s">
        <v>254</v>
      </c>
      <c r="E15" s="7" t="s">
        <v>133</v>
      </c>
      <c r="F15" s="19" t="s">
        <v>245</v>
      </c>
      <c r="G15" s="19" t="s">
        <v>245</v>
      </c>
      <c r="H15" s="18" t="s">
        <v>242</v>
      </c>
      <c r="I15" s="9" t="s">
        <v>136</v>
      </c>
    </row>
    <row r="16">
      <c r="A16" s="7" t="s">
        <v>255</v>
      </c>
      <c r="B16" s="7" t="s">
        <v>142</v>
      </c>
      <c r="C16" s="7" t="s">
        <v>129</v>
      </c>
      <c r="D16" s="20" t="s">
        <v>254</v>
      </c>
      <c r="E16" s="7" t="s">
        <v>144</v>
      </c>
      <c r="F16" s="19" t="s">
        <v>245</v>
      </c>
      <c r="G16" s="19" t="s">
        <v>245</v>
      </c>
      <c r="H16" s="18" t="s">
        <v>242</v>
      </c>
      <c r="I16" s="9" t="s">
        <v>147</v>
      </c>
    </row>
    <row r="17">
      <c r="A17" s="7" t="s">
        <v>256</v>
      </c>
      <c r="B17" s="7" t="s">
        <v>203</v>
      </c>
      <c r="C17" s="14" t="s">
        <v>181</v>
      </c>
      <c r="D17" s="20" t="s">
        <v>257</v>
      </c>
      <c r="E17" s="7" t="s">
        <v>205</v>
      </c>
      <c r="F17" s="19" t="s">
        <v>245</v>
      </c>
      <c r="G17" s="19" t="s">
        <v>245</v>
      </c>
      <c r="H17" s="18" t="s">
        <v>242</v>
      </c>
      <c r="I17" s="12" t="s">
        <v>207</v>
      </c>
    </row>
    <row r="18">
      <c r="B18" s="21"/>
      <c r="D18" s="20"/>
      <c r="E18" s="20"/>
      <c r="F18" s="19"/>
      <c r="G18" s="19"/>
      <c r="H18" s="19"/>
      <c r="I18" s="20"/>
    </row>
    <row r="19">
      <c r="F19" s="19"/>
      <c r="G19" s="19"/>
      <c r="H19" s="19"/>
      <c r="I19" s="22"/>
    </row>
    <row r="20">
      <c r="A20" s="5" t="s">
        <v>242</v>
      </c>
      <c r="B20" s="5" t="s">
        <v>258</v>
      </c>
      <c r="F20" s="19"/>
      <c r="G20" s="19"/>
      <c r="H20" s="19"/>
      <c r="I20" s="21"/>
    </row>
    <row r="21">
      <c r="A21" s="10">
        <f>COUNTIF(H:H,"New")</f>
        <v>10</v>
      </c>
      <c r="B21" s="10">
        <f>COUNTIF(H:H,"Resolved")</f>
        <v>0</v>
      </c>
      <c r="F21" s="19"/>
      <c r="G21" s="19"/>
      <c r="H21" s="19"/>
      <c r="I21" s="21"/>
    </row>
    <row r="22">
      <c r="C22" s="23"/>
      <c r="E22" s="24"/>
      <c r="F22" s="19"/>
      <c r="G22" s="19"/>
      <c r="H22" s="19"/>
      <c r="I22" s="24"/>
    </row>
  </sheetData>
  <mergeCells count="2">
    <mergeCell ref="A1:I3"/>
    <mergeCell ref="A4:I6"/>
  </mergeCells>
  <dataValidations>
    <dataValidation type="list" allowBlank="1" showErrorMessage="1" sqref="F8:F17">
      <formula1>"NA,Critical,Major,Medium,Low"</formula1>
    </dataValidation>
    <dataValidation type="list" allowBlank="1" showErrorMessage="1" sqref="H8:H17">
      <formula1>"New,Resolved"</formula1>
    </dataValidation>
    <dataValidation type="list" allowBlank="1" showErrorMessage="1" sqref="G8:G17">
      <formula1>"NA,High,Medium,Low"</formula1>
    </dataValidation>
  </dataValidations>
  <hyperlinks>
    <hyperlink r:id="rId1" ref="I8"/>
    <hyperlink r:id="rId2" ref="I9"/>
    <hyperlink r:id="rId3" ref="I10"/>
    <hyperlink r:id="rId4" ref="I11"/>
    <hyperlink r:id="rId5" ref="I12"/>
    <hyperlink r:id="rId6" ref="I13"/>
    <hyperlink r:id="rId7" ref="I14"/>
    <hyperlink r:id="rId8" ref="I15"/>
    <hyperlink r:id="rId9" ref="I16"/>
    <hyperlink r:id="rId10" ref="I17"/>
  </hyperlinks>
  <drawing r:id="rId11"/>
</worksheet>
</file>